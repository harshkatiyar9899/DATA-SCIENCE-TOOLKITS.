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6" i="1"/>
  <c r="K7" i="1"/>
  <c r="K9" i="1"/>
  <c r="J3" i="1"/>
  <c r="K3" i="1" s="1"/>
  <c r="J4" i="1"/>
  <c r="K4" i="1" s="1"/>
  <c r="J5" i="1"/>
  <c r="K5" i="1" s="1"/>
  <c r="J6" i="1"/>
  <c r="J7" i="1"/>
  <c r="J8" i="1"/>
  <c r="K8" i="1" s="1"/>
  <c r="J9" i="1"/>
  <c r="J10" i="1"/>
  <c r="K10" i="1" s="1"/>
  <c r="J11" i="1"/>
  <c r="K11" i="1" s="1"/>
  <c r="J2" i="1"/>
  <c r="K2" i="1" s="1"/>
  <c r="I3" i="1" l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<sst xmlns="http://schemas.openxmlformats.org/spreadsheetml/2006/main" count="34" uniqueCount="26">
  <si>
    <t>Student</t>
  </si>
  <si>
    <t>Marks</t>
  </si>
  <si>
    <t>Attendance (%)</t>
  </si>
  <si>
    <t>Assignment</t>
  </si>
  <si>
    <t>Amit</t>
  </si>
  <si>
    <t>Yes</t>
  </si>
  <si>
    <t>Priya</t>
  </si>
  <si>
    <t>Rahul</t>
  </si>
  <si>
    <t>No</t>
  </si>
  <si>
    <t>Sneha</t>
  </si>
  <si>
    <t>Karan</t>
  </si>
  <si>
    <t>Neha</t>
  </si>
  <si>
    <t>Arjun</t>
  </si>
  <si>
    <t>Riya</t>
  </si>
  <si>
    <t>Mohit</t>
  </si>
  <si>
    <t>Pooja</t>
  </si>
  <si>
    <t>PASS OR FAIL</t>
  </si>
  <si>
    <t>SCHOLARSHIP</t>
  </si>
  <si>
    <t>ATTENDANCE CHECK</t>
  </si>
  <si>
    <t xml:space="preserve"> ASSIGNMENT CHECK</t>
  </si>
  <si>
    <t>GRADE CALCULATION</t>
  </si>
  <si>
    <t>PERFORMANCE REMARK</t>
  </si>
  <si>
    <t>EXAM ELIGIBLE</t>
  </si>
  <si>
    <t>MERIT CERTIFICATE</t>
  </si>
  <si>
    <t>SPORTS CAMP</t>
  </si>
  <si>
    <t>EXTRA CLASS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</si>
</sst>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Fill="1" applyBorder="1"/>
    <xf numFmtId="0" fontId="1" fillId="0" borderId="0" xfId="0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zoomScale="88" workbookViewId="0">
      <selection activeCell="G33" sqref="G33"/>
    </sheetView>
  </sheetViews>
  <sheetFormatPr defaultRowHeight="14.4" x14ac:dyDescent="0.3"/>
  <cols>
    <col min="3" max="3" width="14.109375" bestFit="1" customWidth="1"/>
    <col min="4" max="4" width="10.77734375" bestFit="1" customWidth="1"/>
    <col min="5" max="5" width="11.6640625" bestFit="1" customWidth="1"/>
    <col min="7" max="7" width="8.88671875" customWidth="1"/>
    <col min="8" max="8" width="23" bestFit="1" customWidth="1"/>
    <col min="9" max="9" width="19.21875" bestFit="1" customWidth="1"/>
    <col min="10" max="10" width="15.5546875" bestFit="1" customWidth="1"/>
    <col min="11" max="11" width="22.33203125" bestFit="1" customWidth="1"/>
    <col min="12" max="12" width="13.88671875" bestFit="1" customWidth="1"/>
    <col min="13" max="13" width="17.6640625" bestFit="1" customWidth="1"/>
    <col min="14" max="14" width="13.33203125" bestFit="1" customWidth="1"/>
    <col min="16" max="16" width="12.44140625" customWidth="1"/>
  </cols>
  <sheetData>
    <row r="1" spans="1:17" x14ac:dyDescent="0.3">
      <c r="A1" s="6" t="s">
        <v>0</v>
      </c>
      <c r="B1" s="7" t="s">
        <v>1</v>
      </c>
      <c r="C1" s="7" t="s">
        <v>2</v>
      </c>
      <c r="D1" s="7" t="s">
        <v>3</v>
      </c>
      <c r="E1" s="8" t="s">
        <v>16</v>
      </c>
      <c r="F1" s="8" t="s">
        <v>17</v>
      </c>
      <c r="G1" s="8"/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/>
      <c r="Q1" s="2"/>
    </row>
    <row r="2" spans="1:17" x14ac:dyDescent="0.3">
      <c r="A2" s="5" t="s">
        <v>4</v>
      </c>
      <c r="B2" s="3">
        <v>82</v>
      </c>
      <c r="C2" s="3">
        <v>92</v>
      </c>
      <c r="D2" s="3" t="s">
        <v>5</v>
      </c>
      <c r="E2" s="4" t="str">
        <f>IF(B2&gt;=40,"PASS","FAIL")</f>
        <v>PASS</v>
      </c>
      <c r="F2" s="4" t="str">
        <f>IF(B2&gt;80,"ELIGIBLE","NOT ELIGIBLE")</f>
        <v>ELIGIBLE</v>
      </c>
      <c r="G2" s="4"/>
      <c r="H2" s="4" t="str">
        <f>IF(C2&lt;75,"SHORT ATTENDANCE","SUFFICIENT  ATTENDANCE")</f>
        <v>SUFFICIENT  ATTENDANCE</v>
      </c>
      <c r="I2" s="4" t="str">
        <f>IF(D2="YES","SUBMITTED","NOT SUBMITTED")</f>
        <v>SUBMITTED</v>
      </c>
      <c r="J2" s="4" t="str">
        <f>IF(B2&gt;=90,"A",IF(B2&gt;=75,"B",IF(B2&gt;=60,"C",IF(B2&gt;=40,"D","F"))))</f>
        <v>B</v>
      </c>
      <c r="K2" s="4" t="str">
        <f>IF(J2="A","EXCELLENT",IF(J2="B","VERY GOOD",IF(J2="C","GOOD",IF(J2="D"," Needs Improvement",IF(J2="F","FAIL")))))</f>
        <v>VERY GOOD</v>
      </c>
      <c r="L2" s="4" t="str">
        <f>IF(AND(B2&gt;=40,C2&gt;=70),"ELIGIBLE","NOT ELIGIBLE")</f>
        <v>ELIGIBLE</v>
      </c>
      <c r="M2" s="4" t="str">
        <f>IF(AND(B2&gt;=85,C2&gt;=90,D2="YES"),"ELIGIBLE","NOT ELIGIBLE")</f>
        <v>NOT ELIGIBLE</v>
      </c>
      <c r="N2" s="4" t="str">
        <f>IF(OR(B2&gt;=80,C2&gt;=95),"ELIGIBLE","NOT ELIGIBLE")</f>
        <v>ELIGIBLE</v>
      </c>
      <c r="O2" s="4" t="str">
        <f>IF(OR(B2&lt;=50,C2&lt;=70),"REQUIRED","NOT REQUIRED")</f>
        <v>NOT REQUIRED</v>
      </c>
      <c r="P2" s="4"/>
    </row>
    <row r="3" spans="1:17" x14ac:dyDescent="0.3">
      <c r="A3" s="5" t="s">
        <v>6</v>
      </c>
      <c r="B3" s="3">
        <v>45</v>
      </c>
      <c r="C3" s="3">
        <v>88</v>
      </c>
      <c r="D3" s="3" t="s">
        <v>5</v>
      </c>
      <c r="E3" s="4" t="str">
        <f t="shared" ref="E3:E11" si="0">IF(B3&gt;=40,"PASS","FAIL")</f>
        <v>PASS</v>
      </c>
      <c r="F3" s="4" t="str">
        <f t="shared" ref="F3:F11" si="1">IF(B3&gt;80,"ELIGIBLE","NOT ELIGIBLE")</f>
        <v>NOT ELIGIBLE</v>
      </c>
      <c r="G3" s="4"/>
      <c r="H3" s="4" t="str">
        <f t="shared" ref="H3:H11" si="2">IF(C3&lt;75,"SHORT ATTENDANCE","SUFFICIENT  ATTENDANCE")</f>
        <v>SUFFICIENT  ATTENDANCE</v>
      </c>
      <c r="I3" s="4" t="str">
        <f t="shared" ref="I3:I11" si="3">IF(D3="YES","SUBMITTED","NOT SUBMITTED")</f>
        <v>SUBMITTED</v>
      </c>
      <c r="J3" s="4" t="str">
        <f t="shared" ref="J3:J11" si="4">IF(B3&gt;=90,"A",IF(B3&gt;=75,"B",IF(B3&gt;=60,"C",IF(B3&gt;=40,"D","F"))))</f>
        <v>D</v>
      </c>
      <c r="K3" s="4" t="str">
        <f t="shared" ref="K3:K11" si="5">IF(J3="A","EXCELLENT",IF(J3="B","VERY GOOD",IF(J3="C","GOOD",IF(J3="D"," Needs Improvement",IF(J3="F","FAIL")))))</f>
        <v xml:space="preserve"> Needs Improvement</v>
      </c>
      <c r="L3" s="4" t="str">
        <f t="shared" ref="L3:L11" si="6">IF(AND(B3&gt;=40,C3&gt;=70),"ELIGIBLE","NOT ELIGIBLE")</f>
        <v>ELIGIBLE</v>
      </c>
      <c r="M3" s="4" t="str">
        <f t="shared" ref="M3:M11" si="7">IF(AND(B3&gt;=85,C3&gt;=90,D3="YES"),"ELIGIBLE","NOT ELIGIBLE")</f>
        <v>NOT ELIGIBLE</v>
      </c>
      <c r="N3" s="4" t="str">
        <f t="shared" ref="N3:N11" si="8">IF(OR(B3&gt;=80,C3&gt;=95),"ELIGIBLE","NOT ELIGIBLE")</f>
        <v>NOT ELIGIBLE</v>
      </c>
      <c r="O3" s="4" t="str">
        <f t="shared" ref="O3:O11" si="9">IF(OR(B3&lt;=50,C3&lt;=70),"REQUIRED","NOT REQUIRED")</f>
        <v>REQUIRED</v>
      </c>
      <c r="P3" s="4"/>
    </row>
    <row r="4" spans="1:17" x14ac:dyDescent="0.3">
      <c r="A4" s="5" t="s">
        <v>7</v>
      </c>
      <c r="B4" s="3">
        <v>67</v>
      </c>
      <c r="C4" s="3">
        <v>72</v>
      </c>
      <c r="D4" s="3" t="s">
        <v>8</v>
      </c>
      <c r="E4" s="4" t="str">
        <f t="shared" si="0"/>
        <v>PASS</v>
      </c>
      <c r="F4" s="4" t="str">
        <f t="shared" si="1"/>
        <v>NOT ELIGIBLE</v>
      </c>
      <c r="G4" s="4"/>
      <c r="H4" s="4" t="str">
        <f t="shared" si="2"/>
        <v>SHORT ATTENDANCE</v>
      </c>
      <c r="I4" s="4" t="str">
        <f t="shared" si="3"/>
        <v>NOT SUBMITTED</v>
      </c>
      <c r="J4" s="4" t="str">
        <f t="shared" si="4"/>
        <v>C</v>
      </c>
      <c r="K4" s="4" t="str">
        <f t="shared" si="5"/>
        <v>GOOD</v>
      </c>
      <c r="L4" s="4" t="str">
        <f t="shared" si="6"/>
        <v>ELIGIBLE</v>
      </c>
      <c r="M4" s="4" t="str">
        <f t="shared" si="7"/>
        <v>NOT ELIGIBLE</v>
      </c>
      <c r="N4" s="4" t="str">
        <f t="shared" si="8"/>
        <v>NOT ELIGIBLE</v>
      </c>
      <c r="O4" s="4" t="str">
        <f t="shared" si="9"/>
        <v>NOT REQUIRED</v>
      </c>
      <c r="P4" s="4"/>
    </row>
    <row r="5" spans="1:17" x14ac:dyDescent="0.3">
      <c r="A5" s="5" t="s">
        <v>9</v>
      </c>
      <c r="B5" s="3">
        <v>91</v>
      </c>
      <c r="C5" s="3">
        <v>96</v>
      </c>
      <c r="D5" s="3" t="s">
        <v>5</v>
      </c>
      <c r="E5" s="4" t="str">
        <f t="shared" si="0"/>
        <v>PASS</v>
      </c>
      <c r="F5" s="4" t="str">
        <f t="shared" si="1"/>
        <v>ELIGIBLE</v>
      </c>
      <c r="G5" s="4"/>
      <c r="H5" s="4" t="str">
        <f t="shared" si="2"/>
        <v>SUFFICIENT  ATTENDANCE</v>
      </c>
      <c r="I5" s="4" t="str">
        <f t="shared" si="3"/>
        <v>SUBMITTED</v>
      </c>
      <c r="J5" s="4" t="str">
        <f t="shared" si="4"/>
        <v>A</v>
      </c>
      <c r="K5" s="4" t="str">
        <f t="shared" si="5"/>
        <v>EXCELLENT</v>
      </c>
      <c r="L5" s="4" t="str">
        <f t="shared" si="6"/>
        <v>ELIGIBLE</v>
      </c>
      <c r="M5" s="4" t="str">
        <f t="shared" si="7"/>
        <v>ELIGIBLE</v>
      </c>
      <c r="N5" s="4" t="str">
        <f t="shared" si="8"/>
        <v>ELIGIBLE</v>
      </c>
      <c r="O5" s="4" t="str">
        <f t="shared" si="9"/>
        <v>NOT REQUIRED</v>
      </c>
      <c r="P5" s="4"/>
    </row>
    <row r="6" spans="1:17" x14ac:dyDescent="0.3">
      <c r="A6" s="5" t="s">
        <v>10</v>
      </c>
      <c r="B6" s="3">
        <v>33</v>
      </c>
      <c r="C6" s="3">
        <v>60</v>
      </c>
      <c r="D6" s="3" t="s">
        <v>8</v>
      </c>
      <c r="E6" s="4" t="str">
        <f t="shared" si="0"/>
        <v>FAIL</v>
      </c>
      <c r="F6" s="4" t="str">
        <f t="shared" si="1"/>
        <v>NOT ELIGIBLE</v>
      </c>
      <c r="G6" s="4"/>
      <c r="H6" s="4" t="str">
        <f t="shared" si="2"/>
        <v>SHORT ATTENDANCE</v>
      </c>
      <c r="I6" s="4" t="str">
        <f t="shared" si="3"/>
        <v>NOT SUBMITTED</v>
      </c>
      <c r="J6" s="4" t="str">
        <f t="shared" si="4"/>
        <v>F</v>
      </c>
      <c r="K6" s="4" t="str">
        <f t="shared" si="5"/>
        <v>FAIL</v>
      </c>
      <c r="L6" s="4" t="str">
        <f t="shared" si="6"/>
        <v>NOT ELIGIBLE</v>
      </c>
      <c r="M6" s="4" t="str">
        <f t="shared" si="7"/>
        <v>NOT ELIGIBLE</v>
      </c>
      <c r="N6" s="4" t="str">
        <f t="shared" si="8"/>
        <v>NOT ELIGIBLE</v>
      </c>
      <c r="O6" s="4" t="str">
        <f t="shared" si="9"/>
        <v>REQUIRED</v>
      </c>
      <c r="P6" s="4"/>
    </row>
    <row r="7" spans="1:17" x14ac:dyDescent="0.3">
      <c r="A7" s="5" t="s">
        <v>11</v>
      </c>
      <c r="B7" s="3">
        <v>58</v>
      </c>
      <c r="C7" s="3">
        <v>81</v>
      </c>
      <c r="D7" s="3" t="s">
        <v>5</v>
      </c>
      <c r="E7" s="4" t="str">
        <f t="shared" si="0"/>
        <v>PASS</v>
      </c>
      <c r="F7" s="4" t="str">
        <f t="shared" si="1"/>
        <v>NOT ELIGIBLE</v>
      </c>
      <c r="G7" s="4"/>
      <c r="H7" s="4" t="str">
        <f t="shared" si="2"/>
        <v>SUFFICIENT  ATTENDANCE</v>
      </c>
      <c r="I7" s="4" t="str">
        <f t="shared" si="3"/>
        <v>SUBMITTED</v>
      </c>
      <c r="J7" s="4" t="str">
        <f t="shared" si="4"/>
        <v>D</v>
      </c>
      <c r="K7" s="4" t="str">
        <f t="shared" si="5"/>
        <v xml:space="preserve"> Needs Improvement</v>
      </c>
      <c r="L7" s="4" t="str">
        <f t="shared" si="6"/>
        <v>ELIGIBLE</v>
      </c>
      <c r="M7" s="4" t="str">
        <f t="shared" si="7"/>
        <v>NOT ELIGIBLE</v>
      </c>
      <c r="N7" s="4" t="str">
        <f t="shared" si="8"/>
        <v>NOT ELIGIBLE</v>
      </c>
      <c r="O7" s="4" t="str">
        <f t="shared" si="9"/>
        <v>NOT REQUIRED</v>
      </c>
      <c r="P7" s="4"/>
    </row>
    <row r="8" spans="1:17" x14ac:dyDescent="0.3">
      <c r="A8" s="5" t="s">
        <v>12</v>
      </c>
      <c r="B8" s="3">
        <v>76</v>
      </c>
      <c r="C8" s="3">
        <v>74</v>
      </c>
      <c r="D8" s="3" t="s">
        <v>5</v>
      </c>
      <c r="E8" s="4" t="str">
        <f t="shared" si="0"/>
        <v>PASS</v>
      </c>
      <c r="F8" s="4" t="str">
        <f t="shared" si="1"/>
        <v>NOT ELIGIBLE</v>
      </c>
      <c r="G8" s="4"/>
      <c r="H8" s="4" t="str">
        <f t="shared" si="2"/>
        <v>SHORT ATTENDANCE</v>
      </c>
      <c r="I8" s="4" t="str">
        <f t="shared" si="3"/>
        <v>SUBMITTED</v>
      </c>
      <c r="J8" s="4" t="str">
        <f t="shared" si="4"/>
        <v>B</v>
      </c>
      <c r="K8" s="4" t="str">
        <f t="shared" si="5"/>
        <v>VERY GOOD</v>
      </c>
      <c r="L8" s="4" t="str">
        <f t="shared" si="6"/>
        <v>ELIGIBLE</v>
      </c>
      <c r="M8" s="4" t="str">
        <f t="shared" si="7"/>
        <v>NOT ELIGIBLE</v>
      </c>
      <c r="N8" s="4" t="str">
        <f t="shared" si="8"/>
        <v>NOT ELIGIBLE</v>
      </c>
      <c r="O8" s="4" t="str">
        <f t="shared" si="9"/>
        <v>NOT REQUIRED</v>
      </c>
      <c r="P8" s="4"/>
    </row>
    <row r="9" spans="1:17" x14ac:dyDescent="0.3">
      <c r="A9" s="5" t="s">
        <v>13</v>
      </c>
      <c r="B9" s="3">
        <v>49</v>
      </c>
      <c r="C9" s="3">
        <v>69</v>
      </c>
      <c r="D9" s="3" t="s">
        <v>5</v>
      </c>
      <c r="E9" s="4" t="str">
        <f t="shared" si="0"/>
        <v>PASS</v>
      </c>
      <c r="F9" s="4" t="str">
        <f t="shared" si="1"/>
        <v>NOT ELIGIBLE</v>
      </c>
      <c r="G9" s="4"/>
      <c r="H9" s="4" t="str">
        <f t="shared" si="2"/>
        <v>SHORT ATTENDANCE</v>
      </c>
      <c r="I9" s="4" t="str">
        <f t="shared" si="3"/>
        <v>SUBMITTED</v>
      </c>
      <c r="J9" s="4" t="str">
        <f t="shared" si="4"/>
        <v>D</v>
      </c>
      <c r="K9" s="4" t="str">
        <f t="shared" si="5"/>
        <v xml:space="preserve"> Needs Improvement</v>
      </c>
      <c r="L9" s="4" t="str">
        <f t="shared" si="6"/>
        <v>NOT ELIGIBLE</v>
      </c>
      <c r="M9" s="4" t="str">
        <f t="shared" si="7"/>
        <v>NOT ELIGIBLE</v>
      </c>
      <c r="N9" s="4" t="str">
        <f t="shared" si="8"/>
        <v>NOT ELIGIBLE</v>
      </c>
      <c r="O9" s="4" t="str">
        <f t="shared" si="9"/>
        <v>REQUIRED</v>
      </c>
      <c r="P9" s="4"/>
    </row>
    <row r="10" spans="1:17" x14ac:dyDescent="0.3">
      <c r="A10" s="5" t="s">
        <v>14</v>
      </c>
      <c r="B10" s="3">
        <v>85</v>
      </c>
      <c r="C10" s="3">
        <v>95</v>
      </c>
      <c r="D10" s="3" t="s">
        <v>8</v>
      </c>
      <c r="E10" s="4" t="str">
        <f t="shared" si="0"/>
        <v>PASS</v>
      </c>
      <c r="F10" s="4" t="str">
        <f t="shared" si="1"/>
        <v>ELIGIBLE</v>
      </c>
      <c r="G10" s="4"/>
      <c r="H10" s="4" t="str">
        <f t="shared" si="2"/>
        <v>SUFFICIENT  ATTENDANCE</v>
      </c>
      <c r="I10" s="4" t="str">
        <f t="shared" si="3"/>
        <v>NOT SUBMITTED</v>
      </c>
      <c r="J10" s="4" t="str">
        <f t="shared" si="4"/>
        <v>B</v>
      </c>
      <c r="K10" s="4" t="str">
        <f t="shared" si="5"/>
        <v>VERY GOOD</v>
      </c>
      <c r="L10" s="4" t="str">
        <f t="shared" si="6"/>
        <v>ELIGIBLE</v>
      </c>
      <c r="M10" s="4" t="str">
        <f t="shared" si="7"/>
        <v>NOT ELIGIBLE</v>
      </c>
      <c r="N10" s="4" t="str">
        <f t="shared" si="8"/>
        <v>ELIGIBLE</v>
      </c>
      <c r="O10" s="4" t="str">
        <f t="shared" si="9"/>
        <v>NOT REQUIRED</v>
      </c>
      <c r="P10" s="4"/>
    </row>
    <row r="11" spans="1:17" x14ac:dyDescent="0.3">
      <c r="A11" s="5" t="s">
        <v>15</v>
      </c>
      <c r="B11" s="3">
        <v>39</v>
      </c>
      <c r="C11" s="3">
        <v>78</v>
      </c>
      <c r="D11" s="3" t="s">
        <v>5</v>
      </c>
      <c r="E11" s="4" t="str">
        <f t="shared" si="0"/>
        <v>FAIL</v>
      </c>
      <c r="F11" s="4" t="str">
        <f t="shared" si="1"/>
        <v>NOT ELIGIBLE</v>
      </c>
      <c r="G11" s="4"/>
      <c r="H11" s="4" t="str">
        <f t="shared" si="2"/>
        <v>SUFFICIENT  ATTENDANCE</v>
      </c>
      <c r="I11" s="4" t="str">
        <f t="shared" si="3"/>
        <v>SUBMITTED</v>
      </c>
      <c r="J11" s="4" t="str">
        <f t="shared" si="4"/>
        <v>F</v>
      </c>
      <c r="K11" s="4" t="str">
        <f t="shared" si="5"/>
        <v>FAIL</v>
      </c>
      <c r="L11" s="4" t="str">
        <f t="shared" si="6"/>
        <v>NOT ELIGIBLE</v>
      </c>
      <c r="M11" s="4" t="str">
        <f t="shared" si="7"/>
        <v>NOT ELIGIBLE</v>
      </c>
      <c r="N11" s="4" t="str">
        <f t="shared" si="8"/>
        <v>NOT ELIGIBLE</v>
      </c>
      <c r="O11" s="4" t="str">
        <f t="shared" si="9"/>
        <v>REQUIRED</v>
      </c>
      <c r="P11" s="4"/>
    </row>
    <row r="12" spans="1:17" x14ac:dyDescent="0.3">
      <c r="H12" s="1">
        <f>+S59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2026-09-23T17:10:45Z</dcterms:created>
  <dcterms:modified xsi:type="dcterms:W3CDTF">2026-09-24T05:58:37Z</dcterms:modified>
</cp:coreProperties>
</file>