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972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2" l="1"/>
  <c r="G29" i="2"/>
  <c r="G28" i="2"/>
  <c r="G27" i="2"/>
  <c r="C24" i="2"/>
  <c r="I23" i="2"/>
  <c r="I22" i="2"/>
  <c r="F23" i="2"/>
  <c r="F22" i="2"/>
  <c r="I21" i="2"/>
  <c r="F21" i="2"/>
  <c r="E20" i="2"/>
  <c r="I19" i="2"/>
  <c r="G19" i="2"/>
  <c r="F19" i="2"/>
  <c r="E19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3" i="2"/>
  <c r="B17" i="1"/>
  <c r="F3" i="1"/>
  <c r="F4" i="1"/>
  <c r="F5" i="1"/>
  <c r="F6" i="1"/>
  <c r="F7" i="1"/>
  <c r="F8" i="1"/>
  <c r="F9" i="1"/>
  <c r="F10" i="1"/>
  <c r="F11" i="1"/>
  <c r="F2" i="1"/>
  <c r="C16" i="1"/>
  <c r="C15" i="1"/>
  <c r="C14" i="1"/>
  <c r="C13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<sst xmlns="http://schemas.openxmlformats.org/spreadsheetml/2006/main" count="112" uniqueCount="65">
  <si>
    <t>EMPLOYEE NAMES</t>
  </si>
  <si>
    <t xml:space="preserve">HARSH </t>
  </si>
  <si>
    <t>RACHIT</t>
  </si>
  <si>
    <t>SHUB</t>
  </si>
  <si>
    <t>PIYUSH</t>
  </si>
  <si>
    <t>KHUSHI</t>
  </si>
  <si>
    <t>AYUSHI</t>
  </si>
  <si>
    <t>ISHA</t>
  </si>
  <si>
    <t>RADHA</t>
  </si>
  <si>
    <t>PRINCE</t>
  </si>
  <si>
    <t>ROHIT</t>
  </si>
  <si>
    <t>DEPARTMENT</t>
  </si>
  <si>
    <t>BASIC SALARY</t>
  </si>
  <si>
    <t xml:space="preserve">BONUS </t>
  </si>
  <si>
    <t>ATTENDANCE DAYS</t>
  </si>
  <si>
    <t>IT</t>
  </si>
  <si>
    <t>SALES</t>
  </si>
  <si>
    <t>HR</t>
  </si>
  <si>
    <t xml:space="preserve">IT </t>
  </si>
  <si>
    <t>MANAGER</t>
  </si>
  <si>
    <t>TOTAL SALARY</t>
  </si>
  <si>
    <t>HIGHEST SALARY</t>
  </si>
  <si>
    <t>LOWEST SALARY</t>
  </si>
  <si>
    <t>AVERAGE SALARY</t>
  </si>
  <si>
    <t>COUNT</t>
  </si>
  <si>
    <t>BONUS ELIGIBLE</t>
  </si>
  <si>
    <t>Order ID</t>
  </si>
  <si>
    <t>Salesperson</t>
  </si>
  <si>
    <t>Region</t>
  </si>
  <si>
    <t>Product</t>
  </si>
  <si>
    <t>Units</t>
  </si>
  <si>
    <t>Price</t>
  </si>
  <si>
    <t>Target</t>
  </si>
  <si>
    <t>Month</t>
  </si>
  <si>
    <t>Amit</t>
  </si>
  <si>
    <t>North</t>
  </si>
  <si>
    <t>Laptop</t>
  </si>
  <si>
    <t>Jan</t>
  </si>
  <si>
    <t>Riya</t>
  </si>
  <si>
    <t>South</t>
  </si>
  <si>
    <t>Mouse</t>
  </si>
  <si>
    <t>Karan</t>
  </si>
  <si>
    <t>East</t>
  </si>
  <si>
    <t>Keyboard</t>
  </si>
  <si>
    <t>Sneha</t>
  </si>
  <si>
    <t>West</t>
  </si>
  <si>
    <t>Monitor</t>
  </si>
  <si>
    <t>Feb</t>
  </si>
  <si>
    <t>Printer</t>
  </si>
  <si>
    <t>Mar</t>
  </si>
  <si>
    <t>Apr</t>
  </si>
  <si>
    <t>May</t>
  </si>
  <si>
    <t>REVENUE</t>
  </si>
  <si>
    <t>TOTAL REVENUE</t>
  </si>
  <si>
    <t xml:space="preserve">AVERAGE </t>
  </si>
  <si>
    <t>HIGHEST</t>
  </si>
  <si>
    <t>LOWEST</t>
  </si>
  <si>
    <t>TOTAL ORDERS</t>
  </si>
  <si>
    <t>COUNT PRICE VALUES</t>
  </si>
  <si>
    <t xml:space="preserve">TOTAL UNIT  </t>
  </si>
  <si>
    <t>TOTAL TARGET</t>
  </si>
  <si>
    <t>AVERAGE TARGET</t>
  </si>
  <si>
    <t>SMALLEST TARGET</t>
  </si>
  <si>
    <t>LARGEST TARGET</t>
  </si>
  <si>
    <t>COUNTS SALES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</si>
</sst>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/>
    <xf numFmtId="0" fontId="2" fillId="4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26" sqref="E26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2.33203125" bestFit="1" customWidth="1"/>
    <col min="4" max="4" width="7.44140625" bestFit="1" customWidth="1"/>
  </cols>
  <sheetData>
    <row r="1" spans="1:7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25</v>
      </c>
      <c r="G1" s="1"/>
    </row>
    <row r="2" spans="1:7" x14ac:dyDescent="0.3">
      <c r="A2" s="1" t="s">
        <v>1</v>
      </c>
      <c r="B2" s="2" t="s">
        <v>15</v>
      </c>
      <c r="C2" s="2">
        <v>25000</v>
      </c>
      <c r="D2" s="2">
        <f>(C2*10/100)</f>
        <v>2500</v>
      </c>
      <c r="E2" s="2">
        <v>26</v>
      </c>
      <c r="F2" s="2" t="str">
        <f>IF(C2&gt;30000,"ELIGIBLE","NOT ELIGIBLE")</f>
        <v>NOT ELIGIBLE</v>
      </c>
      <c r="G2" s="2"/>
    </row>
    <row r="3" spans="1:7" x14ac:dyDescent="0.3">
      <c r="A3" s="1" t="s">
        <v>2</v>
      </c>
      <c r="B3" s="2" t="s">
        <v>16</v>
      </c>
      <c r="C3" s="2">
        <v>20000</v>
      </c>
      <c r="D3" s="2">
        <f t="shared" ref="D3:D11" si="0">(C3*10/100)</f>
        <v>2000</v>
      </c>
      <c r="E3" s="2">
        <v>16</v>
      </c>
      <c r="F3" s="2" t="str">
        <f t="shared" ref="F3:F11" si="1">IF(C3&gt;30000,"ELIGIBLE","NOT ELIGIBLE")</f>
        <v>NOT ELIGIBLE</v>
      </c>
      <c r="G3" s="2"/>
    </row>
    <row r="4" spans="1:7" x14ac:dyDescent="0.3">
      <c r="A4" s="1" t="s">
        <v>3</v>
      </c>
      <c r="B4" s="2" t="s">
        <v>17</v>
      </c>
      <c r="C4" s="2">
        <v>42000</v>
      </c>
      <c r="D4" s="2">
        <f t="shared" si="0"/>
        <v>4200</v>
      </c>
      <c r="E4" s="2">
        <v>23</v>
      </c>
      <c r="F4" s="2" t="str">
        <f t="shared" si="1"/>
        <v>ELIGIBLE</v>
      </c>
      <c r="G4" s="2"/>
    </row>
    <row r="5" spans="1:7" x14ac:dyDescent="0.3">
      <c r="A5" s="1" t="s">
        <v>4</v>
      </c>
      <c r="B5" s="2" t="s">
        <v>16</v>
      </c>
      <c r="C5" s="2">
        <v>32000</v>
      </c>
      <c r="D5" s="2">
        <f t="shared" si="0"/>
        <v>3200</v>
      </c>
      <c r="E5" s="2">
        <v>30</v>
      </c>
      <c r="F5" s="2" t="str">
        <f t="shared" si="1"/>
        <v>ELIGIBLE</v>
      </c>
      <c r="G5" s="2"/>
    </row>
    <row r="6" spans="1:7" x14ac:dyDescent="0.3">
      <c r="A6" s="1" t="s">
        <v>5</v>
      </c>
      <c r="B6" s="2" t="s">
        <v>17</v>
      </c>
      <c r="C6" s="2">
        <v>10000</v>
      </c>
      <c r="D6" s="2">
        <f t="shared" si="0"/>
        <v>1000</v>
      </c>
      <c r="E6" s="2">
        <v>29</v>
      </c>
      <c r="F6" s="2" t="str">
        <f t="shared" si="1"/>
        <v>NOT ELIGIBLE</v>
      </c>
      <c r="G6" s="2"/>
    </row>
    <row r="7" spans="1:7" x14ac:dyDescent="0.3">
      <c r="A7" s="1" t="s">
        <v>6</v>
      </c>
      <c r="B7" s="2" t="s">
        <v>15</v>
      </c>
      <c r="C7" s="2">
        <v>50000</v>
      </c>
      <c r="D7" s="2">
        <f t="shared" si="0"/>
        <v>5000</v>
      </c>
      <c r="E7" s="2">
        <v>27</v>
      </c>
      <c r="F7" s="2" t="str">
        <f t="shared" si="1"/>
        <v>ELIGIBLE</v>
      </c>
      <c r="G7" s="2"/>
    </row>
    <row r="8" spans="1:7" x14ac:dyDescent="0.3">
      <c r="A8" s="1" t="s">
        <v>7</v>
      </c>
      <c r="B8" s="2" t="s">
        <v>17</v>
      </c>
      <c r="C8" s="2">
        <v>12000</v>
      </c>
      <c r="D8" s="2">
        <f t="shared" si="0"/>
        <v>1200</v>
      </c>
      <c r="E8" s="2">
        <v>12</v>
      </c>
      <c r="F8" s="2" t="str">
        <f t="shared" si="1"/>
        <v>NOT ELIGIBLE</v>
      </c>
      <c r="G8" s="2"/>
    </row>
    <row r="9" spans="1:7" x14ac:dyDescent="0.3">
      <c r="A9" s="1" t="s">
        <v>8</v>
      </c>
      <c r="B9" s="2" t="s">
        <v>16</v>
      </c>
      <c r="C9" s="2">
        <v>45000</v>
      </c>
      <c r="D9" s="2">
        <f t="shared" si="0"/>
        <v>4500</v>
      </c>
      <c r="E9" s="2">
        <v>31</v>
      </c>
      <c r="F9" s="2" t="str">
        <f t="shared" si="1"/>
        <v>ELIGIBLE</v>
      </c>
      <c r="G9" s="2"/>
    </row>
    <row r="10" spans="1:7" x14ac:dyDescent="0.3">
      <c r="A10" s="1" t="s">
        <v>9</v>
      </c>
      <c r="B10" s="2" t="s">
        <v>18</v>
      </c>
      <c r="C10" s="2">
        <v>16000</v>
      </c>
      <c r="D10" s="2">
        <f t="shared" si="0"/>
        <v>1600</v>
      </c>
      <c r="E10" s="2">
        <v>10</v>
      </c>
      <c r="F10" s="2" t="str">
        <f t="shared" si="1"/>
        <v>NOT ELIGIBLE</v>
      </c>
      <c r="G10" s="2"/>
    </row>
    <row r="11" spans="1:7" x14ac:dyDescent="0.3">
      <c r="A11" s="1" t="s">
        <v>10</v>
      </c>
      <c r="B11" s="2" t="s">
        <v>19</v>
      </c>
      <c r="C11" s="2">
        <v>15450</v>
      </c>
      <c r="D11" s="2">
        <f t="shared" si="0"/>
        <v>1545</v>
      </c>
      <c r="E11" s="2">
        <v>18</v>
      </c>
      <c r="F11" s="2" t="str">
        <f t="shared" si="1"/>
        <v>NOT ELIGIBLE</v>
      </c>
      <c r="G11" s="2"/>
    </row>
    <row r="12" spans="1:7" x14ac:dyDescent="0.3">
      <c r="A12" s="1"/>
      <c r="B12" s="2"/>
      <c r="C12" s="2"/>
      <c r="D12" s="2"/>
      <c r="E12" s="2"/>
      <c r="F12" s="2"/>
      <c r="G12" s="2"/>
    </row>
    <row r="13" spans="1:7" x14ac:dyDescent="0.3">
      <c r="A13" s="1" t="s">
        <v>20</v>
      </c>
      <c r="B13" s="2"/>
      <c r="C13" s="2">
        <f>SUM(C2:C11)</f>
        <v>267450</v>
      </c>
      <c r="D13" s="2"/>
      <c r="E13" s="2"/>
      <c r="F13" s="2"/>
      <c r="G13" s="2"/>
    </row>
    <row r="14" spans="1:7" x14ac:dyDescent="0.3">
      <c r="A14" s="1" t="s">
        <v>21</v>
      </c>
      <c r="B14" s="2"/>
      <c r="C14" s="2">
        <f>MAX(C2:C11)</f>
        <v>50000</v>
      </c>
      <c r="D14" s="2"/>
      <c r="E14" s="2"/>
      <c r="F14" s="2"/>
      <c r="G14" s="2"/>
    </row>
    <row r="15" spans="1:7" x14ac:dyDescent="0.3">
      <c r="A15" s="1" t="s">
        <v>22</v>
      </c>
      <c r="B15" s="2"/>
      <c r="C15" s="2">
        <f>MIN(C2:C11)</f>
        <v>10000</v>
      </c>
      <c r="D15" s="2"/>
      <c r="E15" s="2"/>
      <c r="F15" s="2"/>
      <c r="G15" s="2"/>
    </row>
    <row r="16" spans="1:7" x14ac:dyDescent="0.3">
      <c r="A16" s="1" t="s">
        <v>23</v>
      </c>
      <c r="B16" s="2"/>
      <c r="C16" s="2">
        <f>AVERAGE(C2:C11)</f>
        <v>26745</v>
      </c>
      <c r="D16" s="2"/>
      <c r="E16" s="2"/>
      <c r="F16" s="2"/>
      <c r="G16" s="2"/>
    </row>
    <row r="17" spans="1:7" x14ac:dyDescent="0.3">
      <c r="A17" s="1" t="s">
        <v>24</v>
      </c>
      <c r="B17" s="2">
        <f>COUNT(C2:C11)</f>
        <v>10</v>
      </c>
      <c r="C17" s="2"/>
      <c r="D17" s="2"/>
      <c r="E17" s="2"/>
      <c r="F17" s="2"/>
      <c r="G1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N13" sqref="N13"/>
    </sheetView>
  </sheetViews>
  <sheetFormatPr defaultRowHeight="14.4" x14ac:dyDescent="0.3"/>
  <cols>
    <col min="1" max="1" width="21.33203125" bestFit="1" customWidth="1"/>
  </cols>
  <sheetData>
    <row r="1" spans="1:9" ht="28.8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52</v>
      </c>
    </row>
    <row r="2" spans="1:9" x14ac:dyDescent="0.3">
      <c r="A2" s="4"/>
      <c r="B2" s="9"/>
      <c r="C2" s="9"/>
      <c r="D2" s="9"/>
      <c r="E2" s="9"/>
      <c r="F2" s="9"/>
      <c r="G2" s="9"/>
      <c r="H2" s="9"/>
      <c r="I2" s="10"/>
    </row>
    <row r="3" spans="1:9" x14ac:dyDescent="0.3">
      <c r="A3" s="5">
        <v>1001</v>
      </c>
      <c r="B3" s="11" t="s">
        <v>34</v>
      </c>
      <c r="C3" s="11" t="s">
        <v>35</v>
      </c>
      <c r="D3" s="11" t="s">
        <v>36</v>
      </c>
      <c r="E3" s="11">
        <v>5</v>
      </c>
      <c r="F3" s="11">
        <v>45000</v>
      </c>
      <c r="G3" s="11">
        <v>200000</v>
      </c>
      <c r="H3" s="11" t="s">
        <v>37</v>
      </c>
      <c r="I3" s="10">
        <f>(E3*F3)</f>
        <v>225000</v>
      </c>
    </row>
    <row r="4" spans="1:9" x14ac:dyDescent="0.3">
      <c r="A4" s="5">
        <v>1002</v>
      </c>
      <c r="B4" s="11" t="s">
        <v>38</v>
      </c>
      <c r="C4" s="11" t="s">
        <v>39</v>
      </c>
      <c r="D4" s="11" t="s">
        <v>40</v>
      </c>
      <c r="E4" s="11">
        <v>25</v>
      </c>
      <c r="F4" s="11">
        <v>600</v>
      </c>
      <c r="G4" s="11">
        <v>15000</v>
      </c>
      <c r="H4" s="11" t="s">
        <v>37</v>
      </c>
      <c r="I4" s="10">
        <f t="shared" ref="I4:I17" si="0">(E4*F4)</f>
        <v>15000</v>
      </c>
    </row>
    <row r="5" spans="1:9" x14ac:dyDescent="0.3">
      <c r="A5" s="5">
        <v>1003</v>
      </c>
      <c r="B5" s="11" t="s">
        <v>41</v>
      </c>
      <c r="C5" s="11" t="s">
        <v>42</v>
      </c>
      <c r="D5" s="11" t="s">
        <v>43</v>
      </c>
      <c r="E5" s="11">
        <v>12</v>
      </c>
      <c r="F5" s="11">
        <v>1200</v>
      </c>
      <c r="G5" s="11">
        <v>12000</v>
      </c>
      <c r="H5" s="11" t="s">
        <v>37</v>
      </c>
      <c r="I5" s="10">
        <f t="shared" si="0"/>
        <v>14400</v>
      </c>
    </row>
    <row r="6" spans="1:9" x14ac:dyDescent="0.3">
      <c r="A6" s="5">
        <v>1004</v>
      </c>
      <c r="B6" s="11" t="s">
        <v>44</v>
      </c>
      <c r="C6" s="11" t="s">
        <v>45</v>
      </c>
      <c r="D6" s="11" t="s">
        <v>46</v>
      </c>
      <c r="E6" s="11">
        <v>8</v>
      </c>
      <c r="F6" s="11">
        <v>9000</v>
      </c>
      <c r="G6" s="11">
        <v>70000</v>
      </c>
      <c r="H6" s="11" t="s">
        <v>47</v>
      </c>
      <c r="I6" s="10">
        <f t="shared" si="0"/>
        <v>72000</v>
      </c>
    </row>
    <row r="7" spans="1:9" x14ac:dyDescent="0.3">
      <c r="A7" s="5">
        <v>1005</v>
      </c>
      <c r="B7" s="11" t="s">
        <v>34</v>
      </c>
      <c r="C7" s="11" t="s">
        <v>35</v>
      </c>
      <c r="D7" s="11" t="s">
        <v>36</v>
      </c>
      <c r="E7" s="11">
        <v>3</v>
      </c>
      <c r="F7" s="11">
        <v>47000</v>
      </c>
      <c r="G7" s="11">
        <v>200000</v>
      </c>
      <c r="H7" s="11" t="s">
        <v>47</v>
      </c>
      <c r="I7" s="10">
        <f t="shared" si="0"/>
        <v>141000</v>
      </c>
    </row>
    <row r="8" spans="1:9" x14ac:dyDescent="0.3">
      <c r="A8" s="5">
        <v>1006</v>
      </c>
      <c r="B8" s="11" t="s">
        <v>38</v>
      </c>
      <c r="C8" s="11" t="s">
        <v>39</v>
      </c>
      <c r="D8" s="11" t="s">
        <v>48</v>
      </c>
      <c r="E8" s="11">
        <v>4</v>
      </c>
      <c r="F8" s="11">
        <v>15000</v>
      </c>
      <c r="G8" s="11">
        <v>50000</v>
      </c>
      <c r="H8" s="11" t="s">
        <v>47</v>
      </c>
      <c r="I8" s="10">
        <f t="shared" si="0"/>
        <v>60000</v>
      </c>
    </row>
    <row r="9" spans="1:9" x14ac:dyDescent="0.3">
      <c r="A9" s="5">
        <v>1007</v>
      </c>
      <c r="B9" s="11" t="s">
        <v>41</v>
      </c>
      <c r="C9" s="11" t="s">
        <v>42</v>
      </c>
      <c r="D9" s="11" t="s">
        <v>40</v>
      </c>
      <c r="E9" s="11">
        <v>40</v>
      </c>
      <c r="F9" s="11">
        <v>550</v>
      </c>
      <c r="G9" s="11">
        <v>20000</v>
      </c>
      <c r="H9" s="11" t="s">
        <v>49</v>
      </c>
      <c r="I9" s="10">
        <f t="shared" si="0"/>
        <v>22000</v>
      </c>
    </row>
    <row r="10" spans="1:9" x14ac:dyDescent="0.3">
      <c r="A10" s="5">
        <v>1008</v>
      </c>
      <c r="B10" s="11" t="s">
        <v>44</v>
      </c>
      <c r="C10" s="11" t="s">
        <v>45</v>
      </c>
      <c r="D10" s="11" t="s">
        <v>36</v>
      </c>
      <c r="E10" s="11">
        <v>2</v>
      </c>
      <c r="F10" s="11">
        <v>48000</v>
      </c>
      <c r="G10" s="11">
        <v>100000</v>
      </c>
      <c r="H10" s="11" t="s">
        <v>49</v>
      </c>
      <c r="I10" s="10">
        <f t="shared" si="0"/>
        <v>96000</v>
      </c>
    </row>
    <row r="11" spans="1:9" x14ac:dyDescent="0.3">
      <c r="A11" s="5">
        <v>1009</v>
      </c>
      <c r="B11" s="11" t="s">
        <v>34</v>
      </c>
      <c r="C11" s="11" t="s">
        <v>35</v>
      </c>
      <c r="D11" s="11" t="s">
        <v>46</v>
      </c>
      <c r="E11" s="11">
        <v>6</v>
      </c>
      <c r="F11" s="11">
        <v>8500</v>
      </c>
      <c r="G11" s="11">
        <v>60000</v>
      </c>
      <c r="H11" s="11" t="s">
        <v>49</v>
      </c>
      <c r="I11" s="10">
        <f t="shared" si="0"/>
        <v>51000</v>
      </c>
    </row>
    <row r="12" spans="1:9" x14ac:dyDescent="0.3">
      <c r="A12" s="5">
        <v>1010</v>
      </c>
      <c r="B12" s="11" t="s">
        <v>38</v>
      </c>
      <c r="C12" s="11" t="s">
        <v>39</v>
      </c>
      <c r="D12" s="11" t="s">
        <v>43</v>
      </c>
      <c r="E12" s="11">
        <v>15</v>
      </c>
      <c r="F12" s="11">
        <v>1100</v>
      </c>
      <c r="G12" s="11">
        <v>15000</v>
      </c>
      <c r="H12" s="11" t="s">
        <v>50</v>
      </c>
      <c r="I12" s="10">
        <f t="shared" si="0"/>
        <v>16500</v>
      </c>
    </row>
    <row r="13" spans="1:9" x14ac:dyDescent="0.3">
      <c r="A13" s="5">
        <v>1011</v>
      </c>
      <c r="B13" s="11" t="s">
        <v>41</v>
      </c>
      <c r="C13" s="11" t="s">
        <v>42</v>
      </c>
      <c r="D13" s="11" t="s">
        <v>48</v>
      </c>
      <c r="E13" s="11">
        <v>3</v>
      </c>
      <c r="F13" s="11">
        <v>16000</v>
      </c>
      <c r="G13" s="11">
        <v>45000</v>
      </c>
      <c r="H13" s="11" t="s">
        <v>50</v>
      </c>
      <c r="I13" s="10">
        <f t="shared" si="0"/>
        <v>48000</v>
      </c>
    </row>
    <row r="14" spans="1:9" x14ac:dyDescent="0.3">
      <c r="A14" s="5">
        <v>1012</v>
      </c>
      <c r="B14" s="11" t="s">
        <v>44</v>
      </c>
      <c r="C14" s="11" t="s">
        <v>45</v>
      </c>
      <c r="D14" s="11" t="s">
        <v>40</v>
      </c>
      <c r="E14" s="11">
        <v>30</v>
      </c>
      <c r="F14" s="11">
        <v>650</v>
      </c>
      <c r="G14" s="11">
        <v>18000</v>
      </c>
      <c r="H14" s="11" t="s">
        <v>50</v>
      </c>
      <c r="I14" s="10">
        <f t="shared" si="0"/>
        <v>19500</v>
      </c>
    </row>
    <row r="15" spans="1:9" x14ac:dyDescent="0.3">
      <c r="A15" s="5">
        <v>1013</v>
      </c>
      <c r="B15" s="11" t="s">
        <v>34</v>
      </c>
      <c r="C15" s="11" t="s">
        <v>35</v>
      </c>
      <c r="D15" s="11" t="s">
        <v>43</v>
      </c>
      <c r="E15" s="11">
        <v>10</v>
      </c>
      <c r="F15" s="11">
        <v>1300</v>
      </c>
      <c r="G15" s="11">
        <v>12000</v>
      </c>
      <c r="H15" s="11" t="s">
        <v>51</v>
      </c>
      <c r="I15" s="10">
        <f t="shared" si="0"/>
        <v>13000</v>
      </c>
    </row>
    <row r="16" spans="1:9" x14ac:dyDescent="0.3">
      <c r="A16" s="5">
        <v>1014</v>
      </c>
      <c r="B16" s="11" t="s">
        <v>38</v>
      </c>
      <c r="C16" s="11" t="s">
        <v>39</v>
      </c>
      <c r="D16" s="11" t="s">
        <v>46</v>
      </c>
      <c r="E16" s="11">
        <v>5</v>
      </c>
      <c r="F16" s="11">
        <v>9200</v>
      </c>
      <c r="G16" s="11">
        <v>45000</v>
      </c>
      <c r="H16" s="11" t="s">
        <v>51</v>
      </c>
      <c r="I16" s="10">
        <f t="shared" si="0"/>
        <v>46000</v>
      </c>
    </row>
    <row r="17" spans="1:9" x14ac:dyDescent="0.3">
      <c r="A17" s="5">
        <v>1015</v>
      </c>
      <c r="B17" s="11" t="s">
        <v>41</v>
      </c>
      <c r="C17" s="11" t="s">
        <v>42</v>
      </c>
      <c r="D17" s="11" t="s">
        <v>36</v>
      </c>
      <c r="E17" s="11">
        <v>4</v>
      </c>
      <c r="F17" s="11">
        <v>46000</v>
      </c>
      <c r="G17" s="11">
        <v>180000</v>
      </c>
      <c r="H17" s="11" t="s">
        <v>51</v>
      </c>
      <c r="I17" s="10">
        <f t="shared" si="0"/>
        <v>184000</v>
      </c>
    </row>
    <row r="18" spans="1:9" x14ac:dyDescent="0.3">
      <c r="A18" s="6"/>
      <c r="B18" s="10"/>
      <c r="C18" s="10"/>
      <c r="D18" s="10"/>
      <c r="E18" s="10"/>
      <c r="F18" s="10"/>
      <c r="G18" s="10"/>
      <c r="H18" s="10"/>
      <c r="I18" s="10"/>
    </row>
    <row r="19" spans="1:9" x14ac:dyDescent="0.3">
      <c r="A19" s="7" t="s">
        <v>53</v>
      </c>
      <c r="B19" s="10"/>
      <c r="C19" s="10"/>
      <c r="D19" s="10"/>
      <c r="E19" s="10">
        <f>SUM(E3:E17)</f>
        <v>172</v>
      </c>
      <c r="F19" s="10">
        <f>SUM(F3:F17)</f>
        <v>249100</v>
      </c>
      <c r="G19" s="10">
        <f>SUM(G3:G17)</f>
        <v>1042000</v>
      </c>
      <c r="H19" s="10"/>
      <c r="I19" s="10">
        <f>SUM(I3:I17)</f>
        <v>1023400</v>
      </c>
    </row>
    <row r="20" spans="1:9" x14ac:dyDescent="0.3">
      <c r="A20" s="8" t="s">
        <v>59</v>
      </c>
      <c r="B20" s="10"/>
      <c r="C20" s="10"/>
      <c r="D20" s="10"/>
      <c r="E20" s="10">
        <f>SUM(E3:E17)</f>
        <v>172</v>
      </c>
      <c r="F20" s="10"/>
      <c r="G20" s="10"/>
      <c r="H20" s="10"/>
      <c r="I20" s="10"/>
    </row>
    <row r="21" spans="1:9" x14ac:dyDescent="0.3">
      <c r="A21" s="8" t="s">
        <v>54</v>
      </c>
      <c r="B21" s="10"/>
      <c r="C21" s="10"/>
      <c r="D21" s="10"/>
      <c r="E21" s="10"/>
      <c r="F21" s="10">
        <f>AVERAGE(F3:F17)</f>
        <v>16606.666666666668</v>
      </c>
      <c r="G21" s="10"/>
      <c r="H21" s="10"/>
      <c r="I21" s="10">
        <f>AVERAGE(I3:I17)</f>
        <v>68226.666666666672</v>
      </c>
    </row>
    <row r="22" spans="1:9" x14ac:dyDescent="0.3">
      <c r="A22" s="8" t="s">
        <v>55</v>
      </c>
      <c r="B22" s="10"/>
      <c r="C22" s="10"/>
      <c r="D22" s="10"/>
      <c r="E22" s="10"/>
      <c r="F22" s="10">
        <f>MAX(F3:F17)</f>
        <v>48000</v>
      </c>
      <c r="G22" s="10"/>
      <c r="H22" s="10"/>
      <c r="I22" s="10">
        <f>MAX(I3:I17)</f>
        <v>225000</v>
      </c>
    </row>
    <row r="23" spans="1:9" x14ac:dyDescent="0.3">
      <c r="A23" s="8" t="s">
        <v>56</v>
      </c>
      <c r="B23" s="10"/>
      <c r="C23" s="10"/>
      <c r="D23" s="10"/>
      <c r="E23" s="10"/>
      <c r="F23" s="10">
        <f>MIN(F3:F17)</f>
        <v>550</v>
      </c>
      <c r="G23" s="10"/>
      <c r="H23" s="10"/>
      <c r="I23" s="10">
        <f>MIN(I3:I17)</f>
        <v>13000</v>
      </c>
    </row>
    <row r="24" spans="1:9" x14ac:dyDescent="0.3">
      <c r="A24" s="8" t="s">
        <v>57</v>
      </c>
      <c r="B24" s="10"/>
      <c r="C24" s="10">
        <f>COUNT(E3:E17)</f>
        <v>15</v>
      </c>
      <c r="D24" s="10"/>
      <c r="E24" s="10"/>
      <c r="F24" s="10"/>
      <c r="G24" s="10"/>
      <c r="H24" s="10"/>
      <c r="I24" s="10"/>
    </row>
    <row r="25" spans="1:9" x14ac:dyDescent="0.3">
      <c r="A25" s="8" t="s">
        <v>58</v>
      </c>
      <c r="B25" s="10"/>
      <c r="C25" s="10"/>
      <c r="D25" s="10"/>
      <c r="E25" s="10"/>
      <c r="F25" s="10">
        <v>15</v>
      </c>
      <c r="G25" s="10"/>
      <c r="H25" s="10"/>
      <c r="I25" s="10"/>
    </row>
    <row r="26" spans="1:9" x14ac:dyDescent="0.3">
      <c r="A26" s="8" t="s">
        <v>60</v>
      </c>
      <c r="B26" s="10"/>
      <c r="C26" s="10"/>
      <c r="D26" s="10"/>
      <c r="E26" s="10"/>
      <c r="F26" s="10"/>
      <c r="G26" s="10">
        <v>1042000</v>
      </c>
      <c r="H26" s="10"/>
      <c r="I26" s="10"/>
    </row>
    <row r="27" spans="1:9" x14ac:dyDescent="0.3">
      <c r="A27" s="8" t="s">
        <v>61</v>
      </c>
      <c r="B27" s="10"/>
      <c r="C27" s="10"/>
      <c r="D27" s="10"/>
      <c r="E27" s="10"/>
      <c r="F27" s="10"/>
      <c r="G27" s="10">
        <f>AVERAGE(G3:G17)</f>
        <v>69466.666666666672</v>
      </c>
      <c r="H27" s="10"/>
      <c r="I27" s="10"/>
    </row>
    <row r="28" spans="1:9" x14ac:dyDescent="0.3">
      <c r="A28" s="8" t="s">
        <v>62</v>
      </c>
      <c r="B28" s="10"/>
      <c r="C28" s="10"/>
      <c r="D28" s="10"/>
      <c r="E28" s="10"/>
      <c r="F28" s="10"/>
      <c r="G28" s="10">
        <f>MIN(G3:G17)</f>
        <v>12000</v>
      </c>
      <c r="H28" s="10"/>
      <c r="I28" s="10"/>
    </row>
    <row r="29" spans="1:9" x14ac:dyDescent="0.3">
      <c r="A29" s="8" t="s">
        <v>63</v>
      </c>
      <c r="B29" s="10"/>
      <c r="C29" s="10"/>
      <c r="D29" s="10"/>
      <c r="E29" s="10"/>
      <c r="F29" s="10"/>
      <c r="G29" s="10">
        <f>MAX(G3:G17)</f>
        <v>200000</v>
      </c>
      <c r="H29" s="10"/>
      <c r="I29" s="10"/>
    </row>
    <row r="30" spans="1:9" x14ac:dyDescent="0.3">
      <c r="A30" s="8" t="s">
        <v>64</v>
      </c>
      <c r="B30" s="10">
        <f>COUNT(A3:A17)</f>
        <v>15</v>
      </c>
      <c r="C30" s="10"/>
      <c r="D30" s="10"/>
      <c r="E30" s="10"/>
      <c r="F30" s="10"/>
      <c r="G30" s="10"/>
      <c r="H30" s="10"/>
      <c r="I30" s="10"/>
    </row>
    <row r="31" spans="1:9" x14ac:dyDescent="0.3">
      <c r="B31" s="12"/>
      <c r="C31" s="12"/>
      <c r="D31" s="12"/>
      <c r="E31" s="12"/>
      <c r="F31" s="12"/>
      <c r="G31" s="12"/>
      <c r="H31" s="12"/>
      <c r="I3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2026-09-25T03:48:52Z</dcterms:created>
  <dcterms:modified xsi:type="dcterms:W3CDTF">2026-09-25T04:26:57Z</dcterms:modified>
</cp:coreProperties>
</file>